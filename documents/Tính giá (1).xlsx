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2" sheetId="1" r:id="rId5"/>
    <sheet state="visible" name="Công thức" sheetId="2" r:id="rId6"/>
    <sheet state="visible" name="04.06" sheetId="3" r:id="rId7"/>
  </sheets>
  <definedNames/>
  <calcPr/>
</workbook>
</file>

<file path=xl/sharedStrings.xml><?xml version="1.0" encoding="utf-8"?>
<sst xmlns="http://schemas.openxmlformats.org/spreadsheetml/2006/main" count="194" uniqueCount="99">
  <si>
    <t>Giá custom</t>
  </si>
  <si>
    <t>Giá ship</t>
  </si>
  <si>
    <t>Ship a</t>
  </si>
  <si>
    <t>Total giá custom</t>
  </si>
  <si>
    <t>Total</t>
  </si>
  <si>
    <t>Bộ lọc line ship</t>
  </si>
  <si>
    <t>Setup giá bán</t>
  </si>
  <si>
    <t>Vendor</t>
  </si>
  <si>
    <t>Product Type (A)</t>
  </si>
  <si>
    <t>Set up giá bán</t>
  </si>
  <si>
    <t>Size</t>
  </si>
  <si>
    <t>Giá hiển thị</t>
  </si>
  <si>
    <t>Total custom</t>
  </si>
  <si>
    <t>Total ship</t>
  </si>
  <si>
    <t>Total Price</t>
  </si>
  <si>
    <t>Profit</t>
  </si>
  <si>
    <t>Tỷ lệ profit/price (fulfill)</t>
  </si>
  <si>
    <t>Profir Margin</t>
  </si>
  <si>
    <t>After Total Price</t>
  </si>
  <si>
    <t>A</t>
  </si>
  <si>
    <t>3,5"</t>
  </si>
  <si>
    <t>seller</t>
  </si>
  <si>
    <t>4"</t>
  </si>
  <si>
    <t>CÔNG THỨC</t>
  </si>
  <si>
    <t>Product Type (ABC)</t>
  </si>
  <si>
    <t>Giá customsize 1</t>
  </si>
  <si>
    <t>Giá customsize 2</t>
  </si>
  <si>
    <t>Giá ship min</t>
  </si>
  <si>
    <t>ABC</t>
  </si>
  <si>
    <t>Staff A nhập</t>
  </si>
  <si>
    <t>B</t>
  </si>
  <si>
    <t>C</t>
  </si>
  <si>
    <t>D</t>
  </si>
  <si>
    <t>E</t>
  </si>
  <si>
    <t>F</t>
  </si>
  <si>
    <t>Total price</t>
  </si>
  <si>
    <t xml:space="preserve">Giá hiển thị + giá customsize 1 + giá customsize 2 + giá ship min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</si>
  <si>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Coupon (Là 0% bảng trên)</t>
  </si>
  <si>
    <t>Phần 0% này Staff A cũng tự nhập, tùy thuộc vào cách set của staff A, sau đó công thức sẽ là:
% coupon mà Staff A nhập x (total price - giá ship min)</t>
  </si>
  <si>
    <t>Coupon Fee (2.5%)</t>
  </si>
  <si>
    <t>Mặc định là 2,5%, Staff A không cần nhập, công thức
= 2,5%x(Total Price - Total Giá ship min - Coupon)</t>
  </si>
  <si>
    <t>Total fee (Em diễn giải ra: là % fee *(total price - total ship))</t>
  </si>
  <si>
    <t>Tổng tất cả fee mà seller nhập</t>
  </si>
  <si>
    <t>v</t>
  </si>
  <si>
    <t>AMZ fee</t>
  </si>
  <si>
    <t>Mặc định là17%, Staff A không cần nhập, công thức
= 17% x after price</t>
  </si>
  <si>
    <t>Fee a</t>
  </si>
  <si>
    <t>2,5%*(Total price - totalship)</t>
  </si>
  <si>
    <t>-</t>
  </si>
  <si>
    <t>Total Price - Coupon - Coupon Fee - AMZ fee - Base cost</t>
  </si>
  <si>
    <t>Fee b</t>
  </si>
  <si>
    <t>Profit/Price Fulfill</t>
  </si>
  <si>
    <t>Profit/Basecost</t>
  </si>
  <si>
    <t>,,,</t>
  </si>
  <si>
    <t>Profit Margin</t>
  </si>
  <si>
    <t>Profit / (Giá hiển thị + giá customsize 1,2+ giá ship min)</t>
  </si>
  <si>
    <t>Phần fee chi thì để seller tuywj nhập, em không đi sâu vô</t>
  </si>
  <si>
    <t>After price</t>
  </si>
  <si>
    <t>Total Price - Coupon</t>
  </si>
  <si>
    <t>Chạy số liệu thực tế</t>
  </si>
  <si>
    <t>Về giá</t>
  </si>
  <si>
    <t xml:space="preserve">Detail </t>
  </si>
  <si>
    <t>Pricing 1</t>
  </si>
  <si>
    <t>Pricing 2</t>
  </si>
  <si>
    <t>Shipping cost: Economy</t>
  </si>
  <si>
    <t>Shipping cost: Ground/Fast</t>
  </si>
  <si>
    <t>Shipping cost: Express</t>
  </si>
  <si>
    <t>Shipping cost: 2 Days</t>
  </si>
  <si>
    <t>Shipping cost: Overnight</t>
  </si>
  <si>
    <t xml:space="preserve">Optional </t>
  </si>
  <si>
    <t>Price Ship</t>
  </si>
  <si>
    <t>Total Price (fulfill)</t>
  </si>
  <si>
    <t>N/A</t>
  </si>
  <si>
    <t>VN1</t>
  </si>
  <si>
    <t>3,5" ecomy</t>
  </si>
  <si>
    <t>Fasst</t>
  </si>
  <si>
    <t>Total fee</t>
  </si>
  <si>
    <t>Coupon</t>
  </si>
  <si>
    <t>seller nhập %</t>
  </si>
  <si>
    <t>Coupon fee</t>
  </si>
  <si>
    <t>mặc định 2,5</t>
  </si>
  <si>
    <t>Plaform fee</t>
  </si>
  <si>
    <t>Line ship</t>
  </si>
  <si>
    <t>Ground</t>
  </si>
  <si>
    <t>Thêm bộ lọc cho line ship</t>
  </si>
  <si>
    <t>Cap</t>
  </si>
  <si>
    <t>Vendor Name</t>
  </si>
  <si>
    <t>Total Giá hiển thị</t>
  </si>
  <si>
    <t>Total giá Customsize</t>
  </si>
  <si>
    <t>Total Price (Loại Ship)</t>
  </si>
  <si>
    <t>Profit/Price</t>
  </si>
  <si>
    <t>Tương tự cho giá ship: tương tự giá custom</t>
  </si>
  <si>
    <t>Total price sẽ là công thức em check sheet công thức</t>
  </si>
  <si>
    <t>Qua phần setup giá bán</t>
  </si>
  <si>
    <t>Phần ni sẽ để cho seller tự nhập là mấy % sau đó bỏ công thức tính ra giá trị
Công thức đã có</t>
  </si>
  <si>
    <t>2,5% và 17%</t>
  </si>
  <si>
    <t>Luôn luôn cố định. chỉ cần 1 dòng hiển thị 2 phần phí ni ra là được.</t>
  </si>
  <si>
    <t>Phần còn lại là công thức</t>
  </si>
  <si>
    <t>Em check ở đây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</si>
</sst>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[$$]#,##0.00"/>
    <numFmt numFmtId="166" formatCode="[$$]#,##0"/>
  </numFmts>
  <fonts count="13">
    <font>
      <sz val="10.0"/>
      <color rgb="FF000000"/>
      <name val="Arial"/>
      <scheme val="minor"/>
    </font>
    <font>
      <b/>
      <sz val="11.0"/>
      <color rgb="FFFF0000"/>
      <name val="Calibri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9.0"/>
      <color rgb="FFFF0000"/>
      <name val="Arial"/>
      <scheme val="minor"/>
    </font>
    <font>
      <b/>
      <sz val="11.0"/>
      <color rgb="FF6AA84F"/>
      <name val="Calibri"/>
    </font>
    <font>
      <b/>
      <sz val="17.0"/>
      <color rgb="FFFF0000"/>
      <name val="Arial"/>
      <scheme val="minor"/>
    </font>
    <font>
      <b/>
      <sz val="12.0"/>
      <color rgb="FFFF0000"/>
      <name val="Calibri"/>
    </font>
    <font>
      <sz val="11.0"/>
      <color rgb="FF9900FF"/>
      <name val="Calibri"/>
    </font>
    <font>
      <sz val="11.0"/>
      <color rgb="FFFF0000"/>
      <name val="Calibri"/>
    </font>
    <font>
      <b/>
      <color theme="1"/>
      <name val="Arial"/>
      <scheme val="minor"/>
    </font>
    <font>
      <sz val="2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shrinkToFit="0" wrapText="1"/>
    </xf>
    <xf borderId="0" fillId="3" fontId="3" numFmtId="0" xfId="0" applyAlignment="1" applyFill="1" applyFont="1">
      <alignment horizontal="center" readingOrder="0" shrinkToFit="0" wrapText="1"/>
    </xf>
    <xf borderId="0" fillId="3" fontId="4" numFmtId="0" xfId="0" applyFont="1"/>
    <xf borderId="0" fillId="3" fontId="3" numFmtId="0" xfId="0" applyAlignment="1" applyFont="1">
      <alignment horizontal="center" shrinkToFit="0" wrapText="1"/>
    </xf>
    <xf borderId="0" fillId="3" fontId="3" numFmtId="0" xfId="0" applyAlignment="1" applyFont="1">
      <alignment horizontal="center"/>
    </xf>
    <xf borderId="0" fillId="4" fontId="3" numFmtId="9" xfId="0" applyAlignment="1" applyFill="1" applyFont="1" applyNumberFormat="1">
      <alignment horizontal="center" shrinkToFit="0" wrapText="1"/>
    </xf>
    <xf borderId="0" fillId="3" fontId="3" numFmtId="164" xfId="0" applyAlignment="1" applyFont="1" applyNumberFormat="1">
      <alignment horizontal="center" shrinkToFit="0" wrapText="1"/>
    </xf>
    <xf borderId="0" fillId="3" fontId="3" numFmtId="9" xfId="0" applyAlignment="1" applyFont="1" applyNumberFormat="1">
      <alignment horizontal="center" shrinkToFit="0" wrapText="1"/>
    </xf>
    <xf borderId="0" fillId="0" fontId="2" numFmtId="0" xfId="0" applyFont="1"/>
    <xf borderId="0" fillId="0" fontId="5" numFmtId="0" xfId="0" applyAlignment="1" applyFont="1">
      <alignment horizontal="center" readingOrder="0"/>
    </xf>
    <xf borderId="0" fillId="3" fontId="3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vertical="center"/>
    </xf>
    <xf borderId="0" fillId="3" fontId="3" numFmtId="9" xfId="0" applyAlignment="1" applyFont="1" applyNumberFormat="1">
      <alignment horizontal="center" shrinkToFit="0" vertical="center" wrapText="1"/>
    </xf>
    <xf borderId="0" fillId="3" fontId="3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0" fontId="4" numFmtId="165" xfId="0" applyAlignment="1" applyFont="1" applyNumberFormat="1">
      <alignment horizontal="right" readingOrder="0" vertical="bottom"/>
    </xf>
    <xf borderId="0" fillId="0" fontId="3" numFmtId="166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center" shrinkToFit="0" vertical="bottom" wrapText="1"/>
    </xf>
    <xf borderId="0" fillId="0" fontId="6" numFmtId="165" xfId="0" applyAlignment="1" applyFont="1" applyNumberFormat="1">
      <alignment horizontal="center" shrinkToFit="0" vertical="bottom" wrapText="1"/>
    </xf>
    <xf borderId="0" fillId="0" fontId="4" numFmtId="10" xfId="0" applyAlignment="1" applyFont="1" applyNumberFormat="1">
      <alignment horizontal="center" vertical="bottom"/>
    </xf>
    <xf borderId="0" fillId="0" fontId="4" numFmtId="10" xfId="0" applyAlignment="1" applyFont="1" applyNumberFormat="1">
      <alignment horizontal="center" shrinkToFit="0" vertical="bottom" wrapText="1"/>
    </xf>
    <xf borderId="0" fillId="0" fontId="2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2" fontId="8" numFmtId="0" xfId="0" applyAlignment="1" applyFont="1">
      <alignment shrinkToFit="0" wrapText="1"/>
    </xf>
    <xf borderId="0" fillId="2" fontId="4" numFmtId="0" xfId="0" applyFont="1"/>
    <xf borderId="0" fillId="0" fontId="4" numFmtId="0" xfId="0" applyAlignment="1" applyFon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0" fillId="0" fontId="4" numFmtId="165" xfId="0" applyAlignment="1" applyFont="1" applyNumberFormat="1">
      <alignment horizontal="right" vertical="bottom"/>
    </xf>
    <xf borderId="0" fillId="0" fontId="4" numFmtId="165" xfId="0" applyAlignment="1" applyFont="1" applyNumberFormat="1">
      <alignment readingOrder="0" vertical="bottom"/>
    </xf>
    <xf borderId="0" fillId="0" fontId="10" numFmtId="10" xfId="0" applyAlignment="1" applyFont="1" applyNumberFormat="1">
      <alignment horizontal="center" shrinkToFit="0" vertical="bottom" wrapText="1"/>
    </xf>
    <xf borderId="0" fillId="0" fontId="2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5800" cy="685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85725</xdr:rowOff>
    </xdr:from>
    <xdr:ext cx="12801600" cy="698182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133350</xdr:rowOff>
    </xdr:from>
    <xdr:ext cx="18907125" cy="6591300"/>
    <xdr:pic>
      <xdr:nvPicPr>
        <xdr:cNvPr id="0" name="image1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8">
      <c r="B8" s="2" t="s">
        <v>0</v>
      </c>
      <c r="E8" s="2" t="s">
        <v>1</v>
      </c>
    </row>
    <row r="9">
      <c r="B9" s="2">
        <v>1.0</v>
      </c>
      <c r="C9" s="2">
        <v>123.0</v>
      </c>
      <c r="E9" s="2" t="s">
        <v>2</v>
      </c>
      <c r="F9" s="2">
        <v>2.0</v>
      </c>
    </row>
    <row r="10">
      <c r="B10" s="2">
        <v>2.0</v>
      </c>
      <c r="C10" s="2">
        <v>123.0</v>
      </c>
      <c r="E10" s="2" t="s">
        <v>2</v>
      </c>
      <c r="F10" s="2">
        <v>2.0</v>
      </c>
    </row>
    <row r="11">
      <c r="B11" s="2" t="s">
        <v>3</v>
      </c>
      <c r="C11" s="2">
        <v>5.0</v>
      </c>
      <c r="E11" s="2" t="s">
        <v>4</v>
      </c>
      <c r="F11" s="2">
        <v>4.0</v>
      </c>
    </row>
    <row r="15">
      <c r="C15" s="2" t="s">
        <v>5</v>
      </c>
    </row>
    <row r="17">
      <c r="B17" s="3"/>
      <c r="C17" s="3" t="s">
        <v>6</v>
      </c>
    </row>
    <row r="18">
      <c r="B18" s="4" t="s">
        <v>7</v>
      </c>
      <c r="C18" s="4" t="s">
        <v>8</v>
      </c>
      <c r="D18" s="5"/>
      <c r="E18" s="6" t="s">
        <v>9</v>
      </c>
    </row>
    <row r="19">
      <c r="D19" s="6" t="s">
        <v>10</v>
      </c>
      <c r="E19" s="7" t="s">
        <v>11</v>
      </c>
      <c r="F19" s="4" t="s">
        <v>12</v>
      </c>
      <c r="G19" s="4" t="s">
        <v>13</v>
      </c>
      <c r="H19" s="6" t="s">
        <v>14</v>
      </c>
      <c r="I19" s="8">
        <v>0.1</v>
      </c>
      <c r="J19" s="9">
        <v>0.025</v>
      </c>
      <c r="K19" s="10">
        <v>0.17</v>
      </c>
      <c r="L19" s="6" t="s">
        <v>15</v>
      </c>
      <c r="M19" s="6" t="s">
        <v>16</v>
      </c>
      <c r="N19" s="6" t="s">
        <v>17</v>
      </c>
      <c r="O19" s="6" t="s">
        <v>18</v>
      </c>
    </row>
    <row r="20">
      <c r="B20" s="2">
        <v>1.0</v>
      </c>
      <c r="C20" s="2" t="s">
        <v>19</v>
      </c>
      <c r="D20" s="2" t="s">
        <v>20</v>
      </c>
      <c r="E20" s="2" t="s">
        <v>21</v>
      </c>
      <c r="F20" s="2" t="s">
        <v>21</v>
      </c>
      <c r="G20" s="2" t="s">
        <v>21</v>
      </c>
      <c r="L20" s="11">
        <f>'Công thức'!J31</f>
        <v>19</v>
      </c>
    </row>
    <row r="21">
      <c r="D21" s="2" t="s">
        <v>22</v>
      </c>
    </row>
    <row r="22">
      <c r="D22" s="2">
        <v>3.5</v>
      </c>
    </row>
  </sheetData>
  <mergeCells count="4">
    <mergeCell ref="C17:O17"/>
    <mergeCell ref="B18:B19"/>
    <mergeCell ref="C18:C19"/>
    <mergeCell ref="E18:O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13"/>
    <col customWidth="1" min="3" max="3" width="20.63"/>
    <col customWidth="1" min="5" max="5" width="17.25"/>
    <col customWidth="1" min="6" max="6" width="24.88"/>
    <col customWidth="1" min="7" max="7" width="18.88"/>
    <col customWidth="1" min="8" max="8" width="16.38"/>
    <col customWidth="1" min="9" max="9" width="21.5"/>
    <col customWidth="1" min="13" max="13" width="23.5"/>
    <col customWidth="1" min="15" max="15" width="24.13"/>
  </cols>
  <sheetData>
    <row r="1" ht="54.0" customHeight="1">
      <c r="A1" s="11"/>
    </row>
    <row r="2">
      <c r="F2" s="12" t="s">
        <v>23</v>
      </c>
    </row>
    <row r="4" ht="1.5" customHeight="1"/>
    <row r="5" ht="41.25" customHeight="1">
      <c r="A5" s="4"/>
      <c r="B5" s="4" t="s">
        <v>24</v>
      </c>
      <c r="C5" s="5"/>
      <c r="D5" s="6" t="s">
        <v>9</v>
      </c>
    </row>
    <row r="6" ht="41.25" customHeight="1">
      <c r="A6" s="4"/>
      <c r="C6" s="13" t="s">
        <v>10</v>
      </c>
      <c r="D6" s="14" t="s">
        <v>11</v>
      </c>
      <c r="E6" s="13" t="s">
        <v>25</v>
      </c>
      <c r="F6" s="13" t="s">
        <v>26</v>
      </c>
      <c r="G6" s="13" t="s">
        <v>27</v>
      </c>
      <c r="H6" s="13" t="s">
        <v>14</v>
      </c>
      <c r="I6" s="15">
        <v>0.0</v>
      </c>
      <c r="J6" s="16">
        <v>0.025</v>
      </c>
      <c r="K6" s="15">
        <v>0.17</v>
      </c>
      <c r="L6" s="13" t="s">
        <v>15</v>
      </c>
      <c r="M6" s="13" t="s">
        <v>16</v>
      </c>
      <c r="N6" s="13" t="s">
        <v>17</v>
      </c>
      <c r="O6" s="13" t="s">
        <v>18</v>
      </c>
    </row>
    <row r="7">
      <c r="A7" s="17"/>
      <c r="B7" s="17" t="s">
        <v>28</v>
      </c>
      <c r="C7" s="17" t="s">
        <v>19</v>
      </c>
      <c r="D7" s="18" t="s">
        <v>29</v>
      </c>
      <c r="E7" s="18" t="s">
        <v>29</v>
      </c>
      <c r="F7" s="18" t="s">
        <v>29</v>
      </c>
      <c r="G7" s="18" t="s">
        <v>29</v>
      </c>
      <c r="H7" s="19" t="str">
        <f t="shared" ref="H7:H12" si="1">D7+E7+F7+G7</f>
        <v>#VALUE!</v>
      </c>
      <c r="I7" s="20" t="str">
        <f t="shared" ref="I7:I12" si="2">$I$25*(H7-G7)</f>
        <v>#VALUE!</v>
      </c>
      <c r="J7" s="20" t="str">
        <f t="shared" ref="J7:J12" si="3">(0.025*(H7-G7-I7))</f>
        <v>#VALUE!</v>
      </c>
      <c r="K7" s="20" t="str">
        <f t="shared" ref="K7:K12" si="4">O7*$K$25</f>
        <v>#VALUE!</v>
      </c>
      <c r="L7" s="21" t="str">
        <f t="shared" ref="L7:L12" si="5">H7-$H$12-I7-K7-J7</f>
        <v>#VALUE!</v>
      </c>
      <c r="M7" s="22" t="str">
        <f>L7/$H$12</f>
        <v>#VALUE!</v>
      </c>
      <c r="N7" s="23" t="str">
        <f t="shared" ref="N7:N12" si="6">L7/(D7+E7+F7+G7)</f>
        <v>#VALUE!</v>
      </c>
      <c r="O7" s="20" t="str">
        <f t="shared" ref="O7:O12" si="7">H7-I7</f>
        <v>#VALUE!</v>
      </c>
    </row>
    <row r="8">
      <c r="A8" s="17"/>
      <c r="C8" s="17" t="s">
        <v>30</v>
      </c>
      <c r="D8" s="18" t="s">
        <v>29</v>
      </c>
      <c r="E8" s="18" t="s">
        <v>29</v>
      </c>
      <c r="F8" s="18" t="s">
        <v>29</v>
      </c>
      <c r="G8" s="18" t="s">
        <v>29</v>
      </c>
      <c r="H8" s="19" t="str">
        <f t="shared" si="1"/>
        <v>#VALUE!</v>
      </c>
      <c r="I8" s="20" t="str">
        <f t="shared" si="2"/>
        <v>#VALUE!</v>
      </c>
      <c r="J8" s="20" t="str">
        <f t="shared" si="3"/>
        <v>#VALUE!</v>
      </c>
      <c r="K8" s="20" t="str">
        <f t="shared" si="4"/>
        <v>#VALUE!</v>
      </c>
      <c r="L8" s="21" t="str">
        <f t="shared" si="5"/>
        <v>#VALUE!</v>
      </c>
      <c r="M8" s="22" t="str">
        <f>L8/$H$13</f>
        <v>#VALUE!</v>
      </c>
      <c r="N8" s="23" t="str">
        <f t="shared" si="6"/>
        <v>#VALUE!</v>
      </c>
      <c r="O8" s="20" t="str">
        <f t="shared" si="7"/>
        <v>#VALUE!</v>
      </c>
    </row>
    <row r="9">
      <c r="A9" s="17"/>
      <c r="C9" s="17" t="s">
        <v>31</v>
      </c>
      <c r="D9" s="18" t="s">
        <v>29</v>
      </c>
      <c r="E9" s="18" t="s">
        <v>29</v>
      </c>
      <c r="F9" s="18" t="s">
        <v>29</v>
      </c>
      <c r="G9" s="18" t="s">
        <v>29</v>
      </c>
      <c r="H9" s="19" t="str">
        <f t="shared" si="1"/>
        <v>#VALUE!</v>
      </c>
      <c r="I9" s="20" t="str">
        <f t="shared" si="2"/>
        <v>#VALUE!</v>
      </c>
      <c r="J9" s="20" t="str">
        <f t="shared" si="3"/>
        <v>#VALUE!</v>
      </c>
      <c r="K9" s="20" t="str">
        <f t="shared" si="4"/>
        <v>#VALUE!</v>
      </c>
      <c r="L9" s="21" t="str">
        <f t="shared" si="5"/>
        <v>#VALUE!</v>
      </c>
      <c r="M9" s="22" t="str">
        <f>L9/$H$14</f>
        <v>#VALUE!</v>
      </c>
      <c r="N9" s="23" t="str">
        <f t="shared" si="6"/>
        <v>#VALUE!</v>
      </c>
      <c r="O9" s="20" t="str">
        <f t="shared" si="7"/>
        <v>#VALUE!</v>
      </c>
    </row>
    <row r="10">
      <c r="A10" s="17"/>
      <c r="C10" s="17" t="s">
        <v>32</v>
      </c>
      <c r="D10" s="18" t="s">
        <v>29</v>
      </c>
      <c r="E10" s="18" t="s">
        <v>29</v>
      </c>
      <c r="F10" s="18" t="s">
        <v>29</v>
      </c>
      <c r="G10" s="18" t="s">
        <v>29</v>
      </c>
      <c r="H10" s="19" t="str">
        <f t="shared" si="1"/>
        <v>#VALUE!</v>
      </c>
      <c r="I10" s="20" t="str">
        <f t="shared" si="2"/>
        <v>#VALUE!</v>
      </c>
      <c r="J10" s="20" t="str">
        <f t="shared" si="3"/>
        <v>#VALUE!</v>
      </c>
      <c r="K10" s="20" t="str">
        <f t="shared" si="4"/>
        <v>#VALUE!</v>
      </c>
      <c r="L10" s="21" t="str">
        <f t="shared" si="5"/>
        <v>#VALUE!</v>
      </c>
      <c r="M10" s="22" t="str">
        <f>L10/$H$15</f>
        <v>#VALUE!</v>
      </c>
      <c r="N10" s="23" t="str">
        <f t="shared" si="6"/>
        <v>#VALUE!</v>
      </c>
      <c r="O10" s="20" t="str">
        <f t="shared" si="7"/>
        <v>#VALUE!</v>
      </c>
    </row>
    <row r="11">
      <c r="A11" s="17"/>
      <c r="C11" s="17" t="s">
        <v>33</v>
      </c>
      <c r="D11" s="18" t="s">
        <v>29</v>
      </c>
      <c r="E11" s="18" t="s">
        <v>29</v>
      </c>
      <c r="F11" s="18" t="s">
        <v>29</v>
      </c>
      <c r="G11" s="18" t="s">
        <v>29</v>
      </c>
      <c r="H11" s="19" t="str">
        <f t="shared" si="1"/>
        <v>#VALUE!</v>
      </c>
      <c r="I11" s="20" t="str">
        <f t="shared" si="2"/>
        <v>#VALUE!</v>
      </c>
      <c r="J11" s="20" t="str">
        <f t="shared" si="3"/>
        <v>#VALUE!</v>
      </c>
      <c r="K11" s="20" t="str">
        <f t="shared" si="4"/>
        <v>#VALUE!</v>
      </c>
      <c r="L11" s="21" t="str">
        <f t="shared" si="5"/>
        <v>#VALUE!</v>
      </c>
      <c r="M11" s="22" t="str">
        <f>L11/$H$16</f>
        <v>#VALUE!</v>
      </c>
      <c r="N11" s="23" t="str">
        <f t="shared" si="6"/>
        <v>#VALUE!</v>
      </c>
      <c r="O11" s="20" t="str">
        <f t="shared" si="7"/>
        <v>#VALUE!</v>
      </c>
    </row>
    <row r="12">
      <c r="A12" s="17"/>
      <c r="C12" s="17" t="s">
        <v>34</v>
      </c>
      <c r="D12" s="18" t="s">
        <v>29</v>
      </c>
      <c r="E12" s="18" t="s">
        <v>29</v>
      </c>
      <c r="F12" s="18" t="s">
        <v>29</v>
      </c>
      <c r="G12" s="18" t="s">
        <v>29</v>
      </c>
      <c r="H12" s="19" t="str">
        <f t="shared" si="1"/>
        <v>#VALUE!</v>
      </c>
      <c r="I12" s="20" t="str">
        <f t="shared" si="2"/>
        <v>#VALUE!</v>
      </c>
      <c r="J12" s="20" t="str">
        <f t="shared" si="3"/>
        <v>#VALUE!</v>
      </c>
      <c r="K12" s="20" t="str">
        <f t="shared" si="4"/>
        <v>#VALUE!</v>
      </c>
      <c r="L12" s="21" t="str">
        <f t="shared" si="5"/>
        <v>#VALUE!</v>
      </c>
      <c r="M12" s="22" t="str">
        <f>L12/$H$17</f>
        <v>#VALUE!</v>
      </c>
      <c r="N12" s="23" t="str">
        <f t="shared" si="6"/>
        <v>#VALUE!</v>
      </c>
      <c r="O12" s="20" t="str">
        <f t="shared" si="7"/>
        <v>#VALUE!</v>
      </c>
    </row>
    <row r="15">
      <c r="C15" s="2" t="s">
        <v>35</v>
      </c>
      <c r="D15" s="2" t="s">
        <v>36</v>
      </c>
    </row>
    <row r="16">
      <c r="C16" s="2" t="s">
        <v>37</v>
      </c>
      <c r="D16" s="2" t="s">
        <v>38</v>
      </c>
    </row>
    <row r="17">
      <c r="C17" s="2" t="s">
        <v>39</v>
      </c>
      <c r="D17" s="2" t="s">
        <v>40</v>
      </c>
      <c r="K17" s="2" t="s">
        <v>41</v>
      </c>
      <c r="N17" s="2" t="s">
        <v>42</v>
      </c>
      <c r="P17" s="2" t="s">
        <v>43</v>
      </c>
    </row>
    <row r="18">
      <c r="C18" s="2" t="s">
        <v>44</v>
      </c>
      <c r="D18" s="2" t="s">
        <v>45</v>
      </c>
      <c r="K18" s="2" t="s">
        <v>46</v>
      </c>
      <c r="L18" s="24">
        <v>0.025</v>
      </c>
      <c r="M18" s="2" t="s">
        <v>47</v>
      </c>
      <c r="O18" s="2" t="s">
        <v>48</v>
      </c>
    </row>
    <row r="19">
      <c r="C19" s="2" t="s">
        <v>15</v>
      </c>
      <c r="D19" s="2" t="s">
        <v>49</v>
      </c>
      <c r="K19" s="2" t="s">
        <v>50</v>
      </c>
      <c r="L19" s="25">
        <v>0.1</v>
      </c>
    </row>
    <row r="20">
      <c r="C20" s="2" t="s">
        <v>51</v>
      </c>
      <c r="D20" s="2" t="s">
        <v>52</v>
      </c>
      <c r="K20" s="2" t="s">
        <v>53</v>
      </c>
    </row>
    <row r="21">
      <c r="C21" s="2" t="s">
        <v>54</v>
      </c>
      <c r="D21" s="2" t="s">
        <v>55</v>
      </c>
      <c r="K21" s="2" t="s">
        <v>56</v>
      </c>
    </row>
    <row r="22">
      <c r="C22" s="2" t="s">
        <v>57</v>
      </c>
      <c r="D22" s="2" t="s">
        <v>58</v>
      </c>
    </row>
    <row r="26">
      <c r="A26" s="26"/>
      <c r="B26" s="26" t="s">
        <v>59</v>
      </c>
    </row>
    <row r="27">
      <c r="A27" s="27"/>
      <c r="B27" s="27" t="s">
        <v>60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</row>
    <row r="28" ht="3.0" customHeight="1"/>
    <row r="29" ht="45.0" customHeight="1">
      <c r="A29" s="4"/>
      <c r="B29" s="4" t="s">
        <v>24</v>
      </c>
      <c r="C29" s="6" t="s">
        <v>61</v>
      </c>
      <c r="E29" s="6" t="s">
        <v>62</v>
      </c>
      <c r="F29" s="6" t="s">
        <v>63</v>
      </c>
      <c r="G29" s="6" t="s">
        <v>64</v>
      </c>
      <c r="I29" s="4" t="s">
        <v>65</v>
      </c>
      <c r="K29" s="6" t="s">
        <v>66</v>
      </c>
      <c r="M29" s="6" t="s">
        <v>67</v>
      </c>
      <c r="O29" s="6" t="s">
        <v>68</v>
      </c>
    </row>
    <row r="30">
      <c r="A30" s="4"/>
      <c r="C30" s="6" t="s">
        <v>10</v>
      </c>
      <c r="D30" s="6" t="s">
        <v>69</v>
      </c>
      <c r="G30" s="6" t="s">
        <v>70</v>
      </c>
      <c r="H30" s="6" t="s">
        <v>71</v>
      </c>
      <c r="I30" s="6" t="s">
        <v>70</v>
      </c>
      <c r="J30" s="6" t="s">
        <v>71</v>
      </c>
      <c r="K30" s="6" t="s">
        <v>70</v>
      </c>
      <c r="L30" s="6" t="s">
        <v>71</v>
      </c>
      <c r="M30" s="6" t="s">
        <v>70</v>
      </c>
      <c r="N30" s="6" t="s">
        <v>71</v>
      </c>
      <c r="O30" s="6" t="s">
        <v>70</v>
      </c>
      <c r="P30" s="6" t="s">
        <v>71</v>
      </c>
    </row>
    <row r="31">
      <c r="A31" s="17"/>
      <c r="B31" s="17" t="s">
        <v>28</v>
      </c>
      <c r="C31" s="29" t="s">
        <v>20</v>
      </c>
      <c r="D31" s="29" t="s">
        <v>72</v>
      </c>
      <c r="E31" s="30">
        <v>10.45</v>
      </c>
      <c r="F31" s="29" t="s">
        <v>72</v>
      </c>
      <c r="G31" s="31">
        <v>0.0</v>
      </c>
      <c r="H31" s="31">
        <f>E31+G31</f>
        <v>10.45</v>
      </c>
      <c r="I31" s="29" t="s">
        <v>72</v>
      </c>
      <c r="J31" s="17">
        <v>19.0</v>
      </c>
      <c r="K31" s="29" t="s">
        <v>72</v>
      </c>
      <c r="L31" s="29" t="s">
        <v>72</v>
      </c>
      <c r="M31" s="29" t="s">
        <v>72</v>
      </c>
      <c r="N31" s="29" t="s">
        <v>72</v>
      </c>
      <c r="O31" s="29" t="s">
        <v>72</v>
      </c>
      <c r="P31" s="29" t="s">
        <v>72</v>
      </c>
    </row>
    <row r="32">
      <c r="C32" s="2" t="s">
        <v>22</v>
      </c>
      <c r="H32" s="2">
        <v>15.0</v>
      </c>
    </row>
    <row r="35">
      <c r="A35" s="3"/>
      <c r="B35" s="3" t="s">
        <v>6</v>
      </c>
    </row>
    <row r="36">
      <c r="A36" s="4" t="s">
        <v>7</v>
      </c>
      <c r="B36" s="4" t="s">
        <v>24</v>
      </c>
      <c r="C36" s="5"/>
      <c r="D36" s="6" t="s">
        <v>9</v>
      </c>
    </row>
    <row r="37">
      <c r="A37" s="4"/>
      <c r="C37" s="6" t="s">
        <v>10</v>
      </c>
      <c r="D37" s="7" t="s">
        <v>11</v>
      </c>
      <c r="E37" s="6" t="s">
        <v>25</v>
      </c>
      <c r="F37" s="6" t="s">
        <v>26</v>
      </c>
      <c r="G37" s="6" t="s">
        <v>27</v>
      </c>
      <c r="H37" s="6" t="s">
        <v>14</v>
      </c>
      <c r="I37" s="8">
        <v>0.1</v>
      </c>
      <c r="J37" s="9">
        <v>0.025</v>
      </c>
      <c r="K37" s="10">
        <v>0.17</v>
      </c>
      <c r="L37" s="6" t="s">
        <v>15</v>
      </c>
      <c r="M37" s="6" t="s">
        <v>16</v>
      </c>
      <c r="N37" s="6" t="s">
        <v>17</v>
      </c>
      <c r="O37" s="6" t="s">
        <v>18</v>
      </c>
    </row>
    <row r="38">
      <c r="A38" s="17" t="s">
        <v>73</v>
      </c>
      <c r="B38" s="17" t="s">
        <v>28</v>
      </c>
      <c r="C38" s="17" t="s">
        <v>74</v>
      </c>
      <c r="D38" s="32">
        <v>19.95</v>
      </c>
      <c r="E38" s="33">
        <v>0.0</v>
      </c>
      <c r="F38" s="32">
        <v>0.0</v>
      </c>
      <c r="G38" s="32">
        <v>0.0</v>
      </c>
      <c r="H38" s="19">
        <f t="shared" ref="H38:H39" si="8">D38+E38+F38+G38</f>
        <v>19.95</v>
      </c>
      <c r="I38" s="20">
        <f t="shared" ref="I38:I39" si="9">10%*(H38-G38)</f>
        <v>1.995</v>
      </c>
      <c r="J38" s="20">
        <f t="shared" ref="J38:J39" si="10">(0.025*(H38-G38-I38))</f>
        <v>0.448875</v>
      </c>
      <c r="K38" s="20">
        <f t="shared" ref="K38:K39" si="11">O38*17%</f>
        <v>3.05235</v>
      </c>
      <c r="L38" s="21">
        <f t="shared" ref="L38:L39" si="12">H38-I38-J38-K38-H31</f>
        <v>4.003775</v>
      </c>
      <c r="M38" s="22">
        <f>L38/H31</f>
        <v>0.3831363636</v>
      </c>
      <c r="N38" s="34">
        <f>L38/(D38+E38+F38+G38)</f>
        <v>0.2006904762</v>
      </c>
      <c r="O38" s="20">
        <f>H38-I38</f>
        <v>17.955</v>
      </c>
    </row>
    <row r="39">
      <c r="C39" s="2" t="s">
        <v>22</v>
      </c>
      <c r="D39" s="32">
        <v>19.95</v>
      </c>
      <c r="E39" s="33">
        <v>0.0</v>
      </c>
      <c r="F39" s="32">
        <v>0.0</v>
      </c>
      <c r="G39" s="32">
        <v>0.0</v>
      </c>
      <c r="H39" s="19">
        <f t="shared" si="8"/>
        <v>19.95</v>
      </c>
      <c r="I39" s="20">
        <f t="shared" si="9"/>
        <v>1.995</v>
      </c>
      <c r="J39" s="20">
        <f t="shared" si="10"/>
        <v>0.448875</v>
      </c>
      <c r="K39" s="20">
        <f t="shared" si="11"/>
        <v>0</v>
      </c>
      <c r="L39" s="21">
        <f t="shared" si="12"/>
        <v>2.506125</v>
      </c>
    </row>
    <row r="40">
      <c r="C40" s="2" t="s">
        <v>75</v>
      </c>
      <c r="I40" s="2" t="s">
        <v>76</v>
      </c>
    </row>
    <row r="41">
      <c r="I41" s="2" t="s">
        <v>77</v>
      </c>
      <c r="J41" s="2" t="s">
        <v>78</v>
      </c>
    </row>
    <row r="42">
      <c r="I42" s="2" t="s">
        <v>79</v>
      </c>
      <c r="J42" s="2" t="s">
        <v>80</v>
      </c>
      <c r="K42" s="2">
        <v>2.5</v>
      </c>
    </row>
    <row r="43">
      <c r="I43" s="2" t="s">
        <v>81</v>
      </c>
      <c r="J43" s="2">
        <v>18.0</v>
      </c>
    </row>
    <row r="44">
      <c r="C44" s="2" t="s">
        <v>82</v>
      </c>
      <c r="D44" s="2" t="s">
        <v>83</v>
      </c>
    </row>
    <row r="45">
      <c r="C45" s="2" t="s">
        <v>84</v>
      </c>
    </row>
    <row r="48">
      <c r="A48" s="3"/>
      <c r="B48" s="3" t="s">
        <v>6</v>
      </c>
    </row>
    <row r="49">
      <c r="A49" s="4" t="s">
        <v>7</v>
      </c>
      <c r="B49" s="4" t="s">
        <v>24</v>
      </c>
      <c r="C49" s="5"/>
      <c r="D49" s="6" t="s">
        <v>9</v>
      </c>
    </row>
    <row r="50">
      <c r="A50" s="4"/>
      <c r="C50" s="6" t="s">
        <v>10</v>
      </c>
      <c r="D50" s="7" t="s">
        <v>11</v>
      </c>
      <c r="E50" s="6" t="s">
        <v>25</v>
      </c>
      <c r="F50" s="6" t="s">
        <v>26</v>
      </c>
      <c r="G50" s="6" t="s">
        <v>27</v>
      </c>
      <c r="H50" s="6" t="s">
        <v>14</v>
      </c>
      <c r="I50" s="8">
        <v>0.1</v>
      </c>
      <c r="J50" s="9">
        <v>0.025</v>
      </c>
      <c r="K50" s="10">
        <v>0.17</v>
      </c>
      <c r="L50" s="6" t="s">
        <v>15</v>
      </c>
      <c r="M50" s="6" t="s">
        <v>16</v>
      </c>
      <c r="N50" s="6" t="s">
        <v>17</v>
      </c>
      <c r="O50" s="6" t="s">
        <v>18</v>
      </c>
    </row>
    <row r="51">
      <c r="A51" s="17" t="s">
        <v>73</v>
      </c>
      <c r="B51" s="17" t="s">
        <v>28</v>
      </c>
      <c r="C51" s="17" t="s">
        <v>85</v>
      </c>
      <c r="D51" s="18">
        <v>5.0</v>
      </c>
      <c r="E51" s="33">
        <v>5.0</v>
      </c>
      <c r="F51" s="18"/>
      <c r="G51" s="18">
        <v>5.0</v>
      </c>
      <c r="H51" s="19">
        <f>D51+E51+F51+G51</f>
        <v>15</v>
      </c>
      <c r="I51" s="20">
        <f>10%*(H51-G51)</f>
        <v>1</v>
      </c>
      <c r="J51" s="20">
        <f>(0.025*(H51-G51-I51))</f>
        <v>0.225</v>
      </c>
      <c r="K51" s="20">
        <f>O51*17%</f>
        <v>2.38</v>
      </c>
      <c r="L51" s="21">
        <f>H51-I51-J51-K51-H31</f>
        <v>0.945</v>
      </c>
      <c r="M51" s="22">
        <f>L51/H31</f>
        <v>0.09043062201</v>
      </c>
      <c r="N51" s="34">
        <f>L51/(D51+E51+F51+G51)</f>
        <v>0.063</v>
      </c>
      <c r="O51" s="20">
        <f>H51-I51</f>
        <v>14</v>
      </c>
    </row>
    <row r="61">
      <c r="D61" s="2" t="s">
        <v>86</v>
      </c>
      <c r="E61" s="2" t="s">
        <v>24</v>
      </c>
      <c r="F61" s="35" t="s">
        <v>10</v>
      </c>
      <c r="G61" s="2" t="s">
        <v>87</v>
      </c>
      <c r="H61" s="2" t="s">
        <v>88</v>
      </c>
      <c r="I61" s="2" t="s">
        <v>89</v>
      </c>
      <c r="J61" s="2" t="s">
        <v>77</v>
      </c>
      <c r="K61" s="2" t="s">
        <v>15</v>
      </c>
      <c r="L61" s="2" t="s">
        <v>90</v>
      </c>
      <c r="M61" s="2" t="s">
        <v>54</v>
      </c>
      <c r="N61" s="2" t="s">
        <v>18</v>
      </c>
    </row>
  </sheetData>
  <mergeCells count="19">
    <mergeCell ref="F29:F30"/>
    <mergeCell ref="G29:H29"/>
    <mergeCell ref="I29:J29"/>
    <mergeCell ref="K29:L29"/>
    <mergeCell ref="O29:P29"/>
    <mergeCell ref="M29:N29"/>
    <mergeCell ref="B35:O35"/>
    <mergeCell ref="B36:B37"/>
    <mergeCell ref="D36:O36"/>
    <mergeCell ref="B48:O48"/>
    <mergeCell ref="B49:B50"/>
    <mergeCell ref="D49:O49"/>
    <mergeCell ref="F2:L2"/>
    <mergeCell ref="B5:B6"/>
    <mergeCell ref="D5:O5"/>
    <mergeCell ref="B7:B12"/>
    <mergeCell ref="B29:B30"/>
    <mergeCell ref="C29:D29"/>
    <mergeCell ref="E29:E30"/>
  </mergeCells>
  <dataValidations>
    <dataValidation type="list" allowBlank="1" showErrorMessage="1" sqref="D44">
      <formula1>"Economy,Ground,..."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O4" s="2" t="s">
        <v>91</v>
      </c>
    </row>
    <row r="5">
      <c r="O5" s="2" t="s">
        <v>92</v>
      </c>
    </row>
    <row r="6">
      <c r="O6" s="36" t="s">
        <v>93</v>
      </c>
    </row>
    <row r="7">
      <c r="O7" s="25">
        <v>0.1</v>
      </c>
      <c r="P7" s="2" t="s">
        <v>94</v>
      </c>
    </row>
    <row r="8">
      <c r="O8" s="2" t="s">
        <v>95</v>
      </c>
      <c r="P8" s="2" t="s">
        <v>96</v>
      </c>
    </row>
    <row r="9">
      <c r="O9" s="2" t="s">
        <v>97</v>
      </c>
    </row>
    <row r="36">
      <c r="A36" s="37" t="s">
        <v>98</v>
      </c>
    </row>
  </sheetData>
  <drawing r:id="rId1"/>
</worksheet>
</file>